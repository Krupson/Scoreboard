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upson/Downloads/"/>
    </mc:Choice>
  </mc:AlternateContent>
  <xr:revisionPtr revIDLastSave="0" documentId="8_{98DF7500-DE95-D44C-B05A-C94DCA7F9135}" xr6:coauthVersionLast="47" xr6:coauthVersionMax="47" xr10:uidLastSave="{00000000-0000-0000-0000-000000000000}"/>
  <bookViews>
    <workbookView xWindow="3160" yWindow="2260" windowWidth="28240" windowHeight="17240" xr2:uid="{8BE95722-25A5-ED4F-A312-87131C1086D6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7" i="1"/>
  <c r="I15" i="1"/>
  <c r="I2" i="1"/>
  <c r="E4" i="1"/>
  <c r="E5" i="1"/>
  <c r="E6" i="1"/>
  <c r="E7" i="1"/>
  <c r="E8" i="1"/>
  <c r="E2" i="1"/>
  <c r="D3" i="1"/>
  <c r="E3" i="1" s="1"/>
  <c r="D4" i="1"/>
  <c r="D5" i="1"/>
  <c r="D6" i="1"/>
  <c r="D7" i="1"/>
  <c r="D8" i="1"/>
  <c r="D9" i="1"/>
  <c r="E9" i="1" s="1"/>
  <c r="D2" i="1"/>
  <c r="I3" i="1" l="1"/>
  <c r="I6" i="1" s="1"/>
  <c r="I9" i="1" s="1"/>
  <c r="I10" i="1" s="1"/>
  <c r="J15" i="1" s="1"/>
  <c r="K15" i="1" s="1"/>
  <c r="J17" i="1" l="1"/>
  <c r="K17" i="1" s="1"/>
  <c r="J16" i="1"/>
  <c r="K16" i="1" s="1"/>
  <c r="L15" i="1"/>
  <c r="L17" i="1"/>
  <c r="L16" i="1"/>
</calcChain>
</file>

<file path=xl/sharedStrings.xml><?xml version="1.0" encoding="utf-8"?>
<sst xmlns="http://schemas.openxmlformats.org/spreadsheetml/2006/main" count="34" uniqueCount="31">
  <si>
    <t>Kolor</t>
  </si>
  <si>
    <t>Red</t>
  </si>
  <si>
    <t>DarkOrange</t>
  </si>
  <si>
    <t>Orange</t>
  </si>
  <si>
    <t>Yellow</t>
  </si>
  <si>
    <t>Green</t>
  </si>
  <si>
    <t>Cyan</t>
  </si>
  <si>
    <t>Blue</t>
  </si>
  <si>
    <t>White</t>
  </si>
  <si>
    <t>Napięcie [V]</t>
  </si>
  <si>
    <t>Moc [W]</t>
  </si>
  <si>
    <t>Prąd (1 znak) [A]</t>
  </si>
  <si>
    <t>Moc (1 znak) [W]</t>
  </si>
  <si>
    <t>Kolor 1</t>
  </si>
  <si>
    <t>Kolor 2</t>
  </si>
  <si>
    <t>Suma:</t>
  </si>
  <si>
    <t>ESP</t>
  </si>
  <si>
    <t>W</t>
  </si>
  <si>
    <t>Power bank</t>
  </si>
  <si>
    <t>Poj. [mAh]</t>
  </si>
  <si>
    <t>Poj. [Wh]</t>
  </si>
  <si>
    <t>Potrzeba:</t>
  </si>
  <si>
    <t>Wh</t>
  </si>
  <si>
    <t>Ile h gry?</t>
  </si>
  <si>
    <t>Sprawność</t>
  </si>
  <si>
    <t>Moc (2 znaki) [W]</t>
  </si>
  <si>
    <t>Zapas [Wh]</t>
  </si>
  <si>
    <t>Pobór mocy</t>
  </si>
  <si>
    <t>h</t>
  </si>
  <si>
    <t>(po skorygowaniu sprawności)</t>
  </si>
  <si>
    <t>Zapas [min]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</si>
</sst>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18A8-ADB1-E14E-9E0B-49C545FEA105}">
  <dimension ref="A1:L17"/>
  <sheetViews>
    <sheetView tabSelected="1" workbookViewId="0">
      <selection activeCell="G13" sqref="G13"/>
    </sheetView>
  </sheetViews>
  <sheetFormatPr baseColWidth="10" defaultRowHeight="16" x14ac:dyDescent="0.2"/>
  <cols>
    <col min="2" max="2" width="19.1640625" customWidth="1"/>
    <col min="4" max="4" width="16.6640625" customWidth="1"/>
    <col min="5" max="5" width="16.83203125" customWidth="1"/>
    <col min="9" max="9" width="11.6640625" customWidth="1"/>
    <col min="11" max="11" width="12.1640625" customWidth="1"/>
  </cols>
  <sheetData>
    <row r="1" spans="1:12" x14ac:dyDescent="0.2">
      <c r="A1" s="1" t="s">
        <v>0</v>
      </c>
      <c r="B1" s="1" t="s">
        <v>11</v>
      </c>
      <c r="C1" s="1" t="s">
        <v>9</v>
      </c>
      <c r="D1" s="1" t="s">
        <v>12</v>
      </c>
      <c r="E1" s="1" t="s">
        <v>25</v>
      </c>
      <c r="I1" s="1" t="s">
        <v>10</v>
      </c>
    </row>
    <row r="2" spans="1:12" x14ac:dyDescent="0.2">
      <c r="A2" t="s">
        <v>1</v>
      </c>
      <c r="B2">
        <v>0.35</v>
      </c>
      <c r="C2">
        <v>5</v>
      </c>
      <c r="D2">
        <f>B2*C2</f>
        <v>1.75</v>
      </c>
      <c r="E2">
        <f>D2*2</f>
        <v>3.5</v>
      </c>
      <c r="G2" s="1" t="s">
        <v>13</v>
      </c>
      <c r="H2" t="s">
        <v>1</v>
      </c>
      <c r="I2">
        <f>SUMIF($A$2:$A$9,H2,$E$2:$E$9)</f>
        <v>3.5</v>
      </c>
    </row>
    <row r="3" spans="1:12" x14ac:dyDescent="0.2">
      <c r="A3" t="s">
        <v>2</v>
      </c>
      <c r="B3">
        <v>0.48</v>
      </c>
      <c r="C3">
        <v>5</v>
      </c>
      <c r="D3">
        <f t="shared" ref="D3:D9" si="0">B3*C3</f>
        <v>2.4</v>
      </c>
      <c r="E3">
        <f t="shared" ref="E3:E9" si="1">D3*2</f>
        <v>4.8</v>
      </c>
      <c r="G3" s="1" t="s">
        <v>14</v>
      </c>
      <c r="H3" t="s">
        <v>3</v>
      </c>
      <c r="I3">
        <f>SUMIF($A$2:$A$9,H3,$E$2:$E$9)</f>
        <v>5</v>
      </c>
    </row>
    <row r="4" spans="1:12" x14ac:dyDescent="0.2">
      <c r="A4" t="s">
        <v>3</v>
      </c>
      <c r="B4">
        <v>0.5</v>
      </c>
      <c r="C4">
        <v>5</v>
      </c>
      <c r="D4">
        <f t="shared" si="0"/>
        <v>2.5</v>
      </c>
      <c r="E4">
        <f t="shared" si="1"/>
        <v>5</v>
      </c>
      <c r="G4" s="1" t="s">
        <v>16</v>
      </c>
      <c r="I4">
        <v>1.5</v>
      </c>
    </row>
    <row r="5" spans="1:12" x14ac:dyDescent="0.2">
      <c r="A5" t="s">
        <v>4</v>
      </c>
      <c r="B5">
        <v>0.54</v>
      </c>
      <c r="C5">
        <v>5</v>
      </c>
      <c r="D5">
        <f t="shared" si="0"/>
        <v>2.7</v>
      </c>
      <c r="E5">
        <f t="shared" si="1"/>
        <v>5.4</v>
      </c>
    </row>
    <row r="6" spans="1:12" x14ac:dyDescent="0.2">
      <c r="A6" t="s">
        <v>5</v>
      </c>
      <c r="B6">
        <v>0.19</v>
      </c>
      <c r="C6">
        <v>5</v>
      </c>
      <c r="D6">
        <f t="shared" si="0"/>
        <v>0.95</v>
      </c>
      <c r="E6">
        <f t="shared" si="1"/>
        <v>1.9</v>
      </c>
      <c r="G6" s="1" t="s">
        <v>15</v>
      </c>
      <c r="I6">
        <f>I2+I3+I4</f>
        <v>10</v>
      </c>
      <c r="J6" t="s">
        <v>17</v>
      </c>
    </row>
    <row r="7" spans="1:12" x14ac:dyDescent="0.2">
      <c r="A7" t="s">
        <v>6</v>
      </c>
      <c r="B7">
        <v>0.53</v>
      </c>
      <c r="C7">
        <v>5</v>
      </c>
      <c r="D7">
        <f t="shared" si="0"/>
        <v>2.6500000000000004</v>
      </c>
      <c r="E7">
        <f t="shared" si="1"/>
        <v>5.3000000000000007</v>
      </c>
      <c r="G7" s="1" t="s">
        <v>23</v>
      </c>
      <c r="I7">
        <v>1.5</v>
      </c>
      <c r="J7" t="s">
        <v>28</v>
      </c>
    </row>
    <row r="8" spans="1:12" x14ac:dyDescent="0.2">
      <c r="A8" t="s">
        <v>7</v>
      </c>
      <c r="B8">
        <v>0.35</v>
      </c>
      <c r="C8">
        <v>5</v>
      </c>
      <c r="D8">
        <f t="shared" si="0"/>
        <v>1.75</v>
      </c>
      <c r="E8">
        <f t="shared" si="1"/>
        <v>3.5</v>
      </c>
      <c r="G8" s="1" t="s">
        <v>24</v>
      </c>
      <c r="I8">
        <v>0.6</v>
      </c>
    </row>
    <row r="9" spans="1:12" x14ac:dyDescent="0.2">
      <c r="A9" t="s">
        <v>8</v>
      </c>
      <c r="B9">
        <v>0.7</v>
      </c>
      <c r="C9">
        <v>5</v>
      </c>
      <c r="D9">
        <f t="shared" si="0"/>
        <v>3.5</v>
      </c>
      <c r="E9">
        <f t="shared" si="1"/>
        <v>7</v>
      </c>
      <c r="G9" s="1" t="s">
        <v>27</v>
      </c>
      <c r="I9">
        <f>I6/I8</f>
        <v>16.666666666666668</v>
      </c>
      <c r="J9" t="s">
        <v>17</v>
      </c>
      <c r="K9" t="s">
        <v>29</v>
      </c>
    </row>
    <row r="10" spans="1:12" x14ac:dyDescent="0.2">
      <c r="G10" s="1" t="s">
        <v>21</v>
      </c>
      <c r="I10">
        <f>ROUNDUP(I9*I7, 0)</f>
        <v>25</v>
      </c>
      <c r="J10" t="s">
        <v>22</v>
      </c>
    </row>
    <row r="14" spans="1:12" x14ac:dyDescent="0.2">
      <c r="H14" s="1" t="s">
        <v>19</v>
      </c>
      <c r="I14" s="1" t="s">
        <v>20</v>
      </c>
      <c r="J14" s="1" t="s">
        <v>26</v>
      </c>
      <c r="K14" s="1" t="s">
        <v>30</v>
      </c>
    </row>
    <row r="15" spans="1:12" x14ac:dyDescent="0.2">
      <c r="G15" s="1" t="s">
        <v>18</v>
      </c>
      <c r="H15">
        <v>5000</v>
      </c>
      <c r="I15">
        <f>(H15*3.7)/1000</f>
        <v>18.5</v>
      </c>
      <c r="J15">
        <f>I15-$I$10</f>
        <v>-6.5</v>
      </c>
      <c r="K15">
        <f>ROUND((J15/$I$9)*60, 0)</f>
        <v>-23</v>
      </c>
      <c r="L15" s="2" t="str">
        <f>IF(I15&gt;$I$10,"OK","-")</f>
        <v>-</v>
      </c>
    </row>
    <row r="16" spans="1:12" x14ac:dyDescent="0.2">
      <c r="H16">
        <v>10000</v>
      </c>
      <c r="I16">
        <f t="shared" ref="I16:I17" si="2">(H16*3.7)/1000</f>
        <v>37</v>
      </c>
      <c r="J16">
        <f>I16-$I$10</f>
        <v>12</v>
      </c>
      <c r="K16">
        <f t="shared" ref="K16:K17" si="3">ROUND((J16/$I$9)*60, 0)</f>
        <v>43</v>
      </c>
      <c r="L16" s="2" t="str">
        <f>IF(I16&gt;$I$10,"OK","-")</f>
        <v>OK</v>
      </c>
    </row>
    <row r="17" spans="8:12" x14ac:dyDescent="0.2">
      <c r="H17">
        <v>20000</v>
      </c>
      <c r="I17">
        <f t="shared" si="2"/>
        <v>74</v>
      </c>
      <c r="J17">
        <f>I17-$I$10</f>
        <v>49</v>
      </c>
      <c r="K17">
        <f t="shared" si="3"/>
        <v>176</v>
      </c>
      <c r="L17" s="2" t="str">
        <f>IF(I17&gt;$I$10,"OK","-")</f>
        <v>OK</v>
      </c>
    </row>
  </sheetData>
  <conditionalFormatting sqref="B2:B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H2:H3" xr:uid="{F731A33D-9C27-7C47-BE28-68EE7D8C882E}">
      <formula1>$A$2:$A$9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Krupa</dc:creator>
  <cp:lastModifiedBy>Kamil Krupa</cp:lastModifiedBy>
  <dcterms:created xsi:type="dcterms:W3CDTF">2026-03-16T23:44:26Z</dcterms:created>
  <dcterms:modified xsi:type="dcterms:W3CDTF">2026-03-17T10:21:10Z</dcterms:modified>
</cp:coreProperties>
</file>